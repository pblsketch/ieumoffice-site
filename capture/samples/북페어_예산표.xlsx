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" sheetId="1" state="visible" r:id="rId1"/>
    <sheet xmlns:r="http://schemas.openxmlformats.org/officeDocument/2006/relationships" name="방문자 예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1E1B4B"/>
      <sz val="16"/>
    </font>
    <font>
      <name val="맑은 고딕"/>
      <color rgb="006B6B80"/>
      <sz val="9.5"/>
    </font>
    <font>
      <name val="맑은 고딕"/>
      <b val="1"/>
      <color rgb="00FFFFFF"/>
      <sz val="10.5"/>
    </font>
    <font>
      <name val="맑은 고딕"/>
      <color rgb="001E1B4B"/>
      <sz val="10.5"/>
    </font>
    <font>
      <name val="맑은 고딕"/>
      <b val="1"/>
      <color rgb="001E1B4B"/>
      <sz val="11"/>
    </font>
    <font>
      <name val="맑은 고딕"/>
      <b val="1"/>
      <color rgb="004338CA"/>
      <sz val="11"/>
    </font>
    <font>
      <name val="맑은 고딕"/>
      <b val="1"/>
      <color rgb="00FFFFFF"/>
      <sz val="10"/>
    </font>
    <font>
      <name val="맑은 고딕"/>
      <color rgb="001E1B4B"/>
      <sz val="10"/>
    </font>
    <font>
      <name val="맑은 고딕"/>
      <b val="1"/>
      <color rgb="004338CA"/>
      <sz val="10"/>
    </font>
    <font>
      <name val="맑은 고딕"/>
      <b val="1"/>
      <color rgb="001E1B4B"/>
      <sz val="10"/>
    </font>
  </fonts>
  <fills count="5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4F3FC"/>
      </patternFill>
    </fill>
    <fill>
      <patternFill patternType="solid">
        <fgColor rgb="00FFE7B0"/>
      </patternFill>
    </fill>
  </fills>
  <borders count="3">
    <border>
      <left/>
      <right/>
      <top/>
      <bottom/>
      <diagonal/>
    </border>
    <border>
      <left style="thin">
        <color rgb="00D9D7F1"/>
      </left>
      <right style="thin">
        <color rgb="00D9D7F1"/>
      </right>
      <top style="thin">
        <color rgb="00D9D7F1"/>
      </top>
      <bottom style="thin">
        <color rgb="00D9D7F1"/>
      </bottom>
    </border>
    <border>
      <left style="thin">
        <color rgb="00D9D7F1"/>
      </left>
      <right style="thin">
        <color rgb="00D9D7F1"/>
      </right>
      <top style="medium">
        <color rgb="00FFB020"/>
      </top>
      <bottom style="medium">
        <color rgb="00FFB02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/>
    </xf>
    <xf numFmtId="3" fontId="5" fillId="4" borderId="2" applyAlignment="1" pivotButton="0" quotePrefix="0" xfId="0">
      <alignment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3" fontId="8" fillId="0" borderId="1" pivotButton="0" quotePrefix="0" xfId="0"/>
    <xf numFmtId="164" fontId="8" fillId="0" borderId="1" pivotButton="0" quotePrefix="0" xfId="0"/>
    <xf numFmtId="0" fontId="1" fillId="0" borderId="0" pivotButton="0" quotePrefix="0" xfId="0"/>
    <xf numFmtId="3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0" fontId="9" fillId="0" borderId="0" pivotButton="0" quotePrefix="0" xfId="0"/>
    <xf numFmtId="3" fontId="10" fillId="0" borderId="0" pivotButton="0" quotePrefix="0" xfId="0"/>
    <xf numFmtId="164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구분별 예산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'예산'!B21</f>
            </strRef>
          </tx>
          <spPr>
            <a:solidFill xmlns:a="http://schemas.openxmlformats.org/drawingml/2006/main">
              <a:srgbClr val="4338CA"/>
            </a:solidFill>
            <a:ln xmlns:a="http://schemas.openxmlformats.org/drawingml/2006/main">
              <a:solidFill>
                <a:srgbClr val="4338CA"/>
              </a:solidFill>
              <a:prstDash val="solid"/>
            </a:ln>
          </spPr>
          <cat>
            <numRef>
              <f>'예산'!$A$22:$A$26</f>
            </numRef>
          </cat>
          <val>
            <numRef>
              <f>'예산'!$B$22:$B$26</f>
            </numRef>
          </val>
        </ser>
        <dLbls>
          <showVal val="1"/>
        </dLbls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시간대별 방문자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'방문자 예측'!C4</f>
            </strRef>
          </tx>
          <spPr>
            <a:solidFill xmlns:a="http://schemas.openxmlformats.org/drawingml/2006/main">
              <a:srgbClr val="C7C3F2"/>
            </a:solidFill>
            <a:ln xmlns:a="http://schemas.openxmlformats.org/drawingml/2006/main">
              <a:solidFill>
                <a:srgbClr val="C7C3F2"/>
              </a:solidFill>
              <a:prstDash val="solid"/>
            </a:ln>
          </spPr>
          <cat>
            <numRef>
              <f>'방문자 예측'!$A$5:$A$7</f>
            </numRef>
          </cat>
          <val>
            <numRef>
              <f>'방문자 예측'!$C$5:$C$7</f>
            </numRef>
          </val>
        </ser>
        <ser>
          <idx val="1"/>
          <order val="1"/>
          <tx>
            <strRef>
              <f>'방문자 예측'!D4</f>
            </strRef>
          </tx>
          <spPr>
            <a:solidFill xmlns:a="http://schemas.openxmlformats.org/drawingml/2006/main">
              <a:srgbClr val="4338CA"/>
            </a:solidFill>
            <a:ln xmlns:a="http://schemas.openxmlformats.org/drawingml/2006/main">
              <a:solidFill>
                <a:srgbClr val="4338CA"/>
              </a:solidFill>
              <a:prstDash val="solid"/>
            </a:ln>
          </spPr>
          <cat>
            <numRef>
              <f>'방문자 예측'!$A$5:$A$7</f>
            </numRef>
          </cat>
          <val>
            <numRef>
              <f>'방문자 예측'!$D$5:$D$7</f>
            </numRef>
          </val>
        </ser>
        <ser>
          <idx val="2"/>
          <order val="2"/>
          <tx>
            <strRef>
              <f>'방문자 예측'!E4</f>
            </strRef>
          </tx>
          <spPr>
            <a:solidFill xmlns:a="http://schemas.openxmlformats.org/drawingml/2006/main">
              <a:srgbClr val="FFB020"/>
            </a:solidFill>
            <a:ln xmlns:a="http://schemas.openxmlformats.org/drawingml/2006/main">
              <a:solidFill>
                <a:srgbClr val="FFB020"/>
              </a:solidFill>
              <a:prstDash val="solid"/>
            </a:ln>
          </spPr>
          <cat>
            <numRef>
              <f>'방문자 예측'!$A$5:$A$7</f>
            </numRef>
          </cat>
          <val>
            <numRef>
              <f>'방문자 예측'!$E$5:$E$7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486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12" customWidth="1" min="4" max="4"/>
    <col width="14" customWidth="1" min="5" max="5"/>
    <col width="22" customWidth="1" min="6" max="6"/>
    <col width="3" customWidth="1" min="7" max="7"/>
  </cols>
  <sheetData>
    <row r="1" ht="34" customHeight="1">
      <c r="A1" s="1" t="inlineStr">
        <is>
          <t>2026 가을 골목 북페어 · 예산 계획</t>
        </is>
      </c>
    </row>
    <row r="2" ht="20" customHeight="1">
      <c r="A2" s="2" t="inlineStr">
        <is>
          <t>이음책방 기획팀 · 2026.10.01 기준 · 단위: 원</t>
        </is>
      </c>
    </row>
    <row r="4" ht="24" customHeight="1">
      <c r="A4" s="3" t="inlineStr">
        <is>
          <t>항목</t>
        </is>
      </c>
      <c r="B4" s="3" t="inlineStr">
        <is>
          <t>구분</t>
        </is>
      </c>
      <c r="C4" s="3" t="inlineStr">
        <is>
          <t>수량</t>
        </is>
      </c>
      <c r="D4" s="3" t="inlineStr">
        <is>
          <t>단가</t>
        </is>
      </c>
      <c r="E4" s="3" t="inlineStr">
        <is>
          <t>금액</t>
        </is>
      </c>
      <c r="F4" s="3" t="inlineStr">
        <is>
          <t>비고</t>
        </is>
      </c>
    </row>
    <row r="5" ht="21" customHeight="1">
      <c r="A5" s="4" t="inlineStr">
        <is>
          <t>부스 천막·테이블 대여</t>
        </is>
      </c>
      <c r="B5" s="5" t="inlineStr">
        <is>
          <t>시설</t>
        </is>
      </c>
      <c r="C5" s="6" t="n">
        <v>32</v>
      </c>
      <c r="D5" s="6" t="n">
        <v>120000</v>
      </c>
      <c r="E5" s="6">
        <f>C5*D5</f>
        <v/>
      </c>
      <c r="F5" s="4" t="inlineStr">
        <is>
          <t>3일 기준</t>
        </is>
      </c>
    </row>
    <row r="6" ht="21" customHeight="1">
      <c r="A6" s="7" t="inlineStr">
        <is>
          <t>무대 음향 장비</t>
        </is>
      </c>
      <c r="B6" s="8" t="inlineStr">
        <is>
          <t>시설</t>
        </is>
      </c>
      <c r="C6" s="9" t="n">
        <v>3</v>
      </c>
      <c r="D6" s="9" t="n">
        <v>450000</v>
      </c>
      <c r="E6" s="9">
        <f>C6*D6</f>
        <v/>
      </c>
      <c r="F6" s="7" t="inlineStr">
        <is>
          <t>일 단위 대여</t>
        </is>
      </c>
    </row>
    <row r="7" ht="21" customHeight="1">
      <c r="A7" s="4" t="inlineStr">
        <is>
          <t>골목 안내 사인물</t>
        </is>
      </c>
      <c r="B7" s="5" t="inlineStr">
        <is>
          <t>시설</t>
        </is>
      </c>
      <c r="C7" s="6" t="n">
        <v>40</v>
      </c>
      <c r="D7" s="6" t="n">
        <v>18000</v>
      </c>
      <c r="E7" s="6">
        <f>C7*D7</f>
        <v/>
      </c>
      <c r="F7" s="4" t="inlineStr">
        <is>
          <t>현수막 포함</t>
        </is>
      </c>
    </row>
    <row r="8" ht="21" customHeight="1">
      <c r="A8" s="7" t="inlineStr">
        <is>
          <t>포스터·리플릿 인쇄</t>
        </is>
      </c>
      <c r="B8" s="8" t="inlineStr">
        <is>
          <t>홍보</t>
        </is>
      </c>
      <c r="C8" s="9" t="n">
        <v>3000</v>
      </c>
      <c r="D8" s="9" t="n">
        <v>220</v>
      </c>
      <c r="E8" s="9">
        <f>C8*D8</f>
        <v/>
      </c>
      <c r="F8" s="7" t="inlineStr">
        <is>
          <t>A3 포스터 300부 포함</t>
        </is>
      </c>
    </row>
    <row r="9" ht="21" customHeight="1">
      <c r="A9" s="4" t="inlineStr">
        <is>
          <t>SNS 광고</t>
        </is>
      </c>
      <c r="B9" s="5" t="inlineStr">
        <is>
          <t>홍보</t>
        </is>
      </c>
      <c r="C9" s="6" t="n">
        <v>1</v>
      </c>
      <c r="D9" s="6" t="n">
        <v>800000</v>
      </c>
      <c r="E9" s="6">
        <f>C9*D9</f>
        <v/>
      </c>
      <c r="F9" s="4" t="inlineStr">
        <is>
          <t>2주 집행</t>
        </is>
      </c>
    </row>
    <row r="10" ht="21" customHeight="1">
      <c r="A10" s="7" t="inlineStr">
        <is>
          <t>스탬프 투어 지도</t>
        </is>
      </c>
      <c r="B10" s="8" t="inlineStr">
        <is>
          <t>홍보</t>
        </is>
      </c>
      <c r="C10" s="9" t="n">
        <v>5000</v>
      </c>
      <c r="D10" s="9" t="n">
        <v>90</v>
      </c>
      <c r="E10" s="9">
        <f>C10*D10</f>
        <v/>
      </c>
      <c r="F10" s="7" t="inlineStr">
        <is>
          <t>접이식 리플릿</t>
        </is>
      </c>
    </row>
    <row r="11" ht="21" customHeight="1">
      <c r="A11" s="4" t="inlineStr">
        <is>
          <t>작가 초청 사례비</t>
        </is>
      </c>
      <c r="B11" s="5" t="inlineStr">
        <is>
          <t>프로그램</t>
        </is>
      </c>
      <c r="C11" s="6" t="n">
        <v>4</v>
      </c>
      <c r="D11" s="6" t="n">
        <v>500000</v>
      </c>
      <c r="E11" s="6">
        <f>C11*D11</f>
        <v/>
      </c>
      <c r="F11" s="4" t="inlineStr">
        <is>
          <t>대화·강연 각 2회</t>
        </is>
      </c>
    </row>
    <row r="12" ht="21" customHeight="1">
      <c r="A12" s="7" t="inlineStr">
        <is>
          <t>공연팀 출연료</t>
        </is>
      </c>
      <c r="B12" s="8" t="inlineStr">
        <is>
          <t>프로그램</t>
        </is>
      </c>
      <c r="C12" s="9" t="n">
        <v>2</v>
      </c>
      <c r="D12" s="9" t="n">
        <v>600000</v>
      </c>
      <c r="E12" s="9">
        <f>C12*D12</f>
        <v/>
      </c>
      <c r="F12" s="7" t="inlineStr">
        <is>
          <t>낭독 공연 포함</t>
        </is>
      </c>
    </row>
    <row r="13" ht="21" customHeight="1">
      <c r="A13" s="4" t="inlineStr">
        <is>
          <t>체험 재료비</t>
        </is>
      </c>
      <c r="B13" s="5" t="inlineStr">
        <is>
          <t>프로그램</t>
        </is>
      </c>
      <c r="C13" s="6" t="n">
        <v>300</v>
      </c>
      <c r="D13" s="6" t="n">
        <v>4500</v>
      </c>
      <c r="E13" s="6">
        <f>C13*D13</f>
        <v/>
      </c>
      <c r="F13" s="4" t="inlineStr">
        <is>
          <t>그림책·제본 키트</t>
        </is>
      </c>
    </row>
    <row r="14" ht="21" customHeight="1">
      <c r="A14" s="7" t="inlineStr">
        <is>
          <t>자원봉사자 식비</t>
        </is>
      </c>
      <c r="B14" s="8" t="inlineStr">
        <is>
          <t>운영</t>
        </is>
      </c>
      <c r="C14" s="9" t="n">
        <v>60</v>
      </c>
      <c r="D14" s="9" t="n">
        <v>9000</v>
      </c>
      <c r="E14" s="9">
        <f>C14*D14</f>
        <v/>
      </c>
      <c r="F14" s="7" t="inlineStr">
        <is>
          <t>20명 × 3일</t>
        </is>
      </c>
    </row>
    <row r="15" ht="21" customHeight="1">
      <c r="A15" s="4" t="inlineStr">
        <is>
          <t>행사 보험</t>
        </is>
      </c>
      <c r="B15" s="5" t="inlineStr">
        <is>
          <t>운영</t>
        </is>
      </c>
      <c r="C15" s="6" t="n">
        <v>1</v>
      </c>
      <c r="D15" s="6" t="n">
        <v>650000</v>
      </c>
      <c r="E15" s="6">
        <f>C15*D15</f>
        <v/>
      </c>
      <c r="F15" s="4" t="inlineStr">
        <is>
          <t>배상책임</t>
        </is>
      </c>
    </row>
    <row r="16" ht="21" customHeight="1">
      <c r="A16" s="7" t="inlineStr">
        <is>
          <t>소책자 ‘골목의 책’ 제작</t>
        </is>
      </c>
      <c r="B16" s="8" t="inlineStr">
        <is>
          <t>기록</t>
        </is>
      </c>
      <c r="C16" s="9" t="n">
        <v>500</v>
      </c>
      <c r="D16" s="9" t="n">
        <v>3800</v>
      </c>
      <c r="E16" s="9">
        <f>C16*D16</f>
        <v/>
      </c>
      <c r="F16" s="7" t="inlineStr">
        <is>
          <t>행사 후 발간</t>
        </is>
      </c>
    </row>
    <row r="17" ht="21" customHeight="1">
      <c r="A17" s="4" t="inlineStr">
        <is>
          <t>완주 기념품</t>
        </is>
      </c>
      <c r="B17" s="5" t="inlineStr">
        <is>
          <t>운영</t>
        </is>
      </c>
      <c r="C17" s="6" t="n">
        <v>800</v>
      </c>
      <c r="D17" s="6" t="n">
        <v>2500</v>
      </c>
      <c r="E17" s="6">
        <f>C17*D17</f>
        <v/>
      </c>
      <c r="F17" s="4" t="inlineStr">
        <is>
          <t>에코백·책갈피</t>
        </is>
      </c>
    </row>
    <row r="18" ht="26" customHeight="1">
      <c r="A18" s="10" t="inlineStr">
        <is>
          <t>합계</t>
        </is>
      </c>
      <c r="B18" s="11" t="n"/>
      <c r="C18" s="11" t="n"/>
      <c r="D18" s="11" t="n"/>
      <c r="E18" s="12">
        <f>SUM(E5:E17)</f>
        <v/>
      </c>
      <c r="F18" s="11" t="inlineStr">
        <is>
          <t>예비비 별도</t>
        </is>
      </c>
    </row>
    <row r="20">
      <c r="A20" s="13" t="inlineStr">
        <is>
          <t>구분별 소계</t>
        </is>
      </c>
    </row>
    <row r="21">
      <c r="A21" s="14" t="inlineStr">
        <is>
          <t>구분</t>
        </is>
      </c>
      <c r="B21" s="14" t="inlineStr">
        <is>
          <t>금액</t>
        </is>
      </c>
      <c r="C21" s="14" t="inlineStr">
        <is>
          <t>비율</t>
        </is>
      </c>
    </row>
    <row r="22">
      <c r="A22" s="15" t="inlineStr">
        <is>
          <t>시설</t>
        </is>
      </c>
      <c r="B22" s="16">
        <f>SUMIF($B$5:$B$17,A22,$E$5:$E$17)</f>
        <v/>
      </c>
      <c r="C22" s="17">
        <f>B22/$E$18</f>
        <v/>
      </c>
    </row>
    <row r="23">
      <c r="A23" s="15" t="inlineStr">
        <is>
          <t>홍보</t>
        </is>
      </c>
      <c r="B23" s="16">
        <f>SUMIF($B$5:$B$17,A23,$E$5:$E$17)</f>
        <v/>
      </c>
      <c r="C23" s="17">
        <f>B23/$E$18</f>
        <v/>
      </c>
    </row>
    <row r="24">
      <c r="A24" s="15" t="inlineStr">
        <is>
          <t>프로그램</t>
        </is>
      </c>
      <c r="B24" s="16">
        <f>SUMIF($B$5:$B$17,A24,$E$5:$E$17)</f>
        <v/>
      </c>
      <c r="C24" s="17">
        <f>B24/$E$18</f>
        <v/>
      </c>
    </row>
    <row r="25">
      <c r="A25" s="15" t="inlineStr">
        <is>
          <t>운영</t>
        </is>
      </c>
      <c r="B25" s="16">
        <f>SUMIF($B$5:$B$17,A25,$E$5:$E$17)</f>
        <v/>
      </c>
      <c r="C25" s="17">
        <f>B25/$E$18</f>
        <v/>
      </c>
    </row>
    <row r="26">
      <c r="A26" s="15" t="inlineStr">
        <is>
          <t>기록</t>
        </is>
      </c>
      <c r="B26" s="16">
        <f>SUMIF($B$5:$B$17,A26,$E$5:$E$17)</f>
        <v/>
      </c>
      <c r="C26" s="17">
        <f>B26/$E$18</f>
        <v/>
      </c>
    </row>
  </sheetData>
  <mergeCells count="3">
    <mergeCell ref="A2:F2"/>
    <mergeCell ref="A18:D18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 ht="34" customHeight="1">
      <c r="A1" s="18" t="inlineStr">
        <is>
          <t>일자별 방문자 예측</t>
        </is>
      </c>
    </row>
    <row r="2">
      <c r="A2" s="2" t="inlineStr">
        <is>
          <t>지난해 봄 행사 실적(2,100명)과 사전 관심 등록 수를 바탕으로 추정</t>
        </is>
      </c>
    </row>
    <row r="4" ht="24" customHeight="1">
      <c r="A4" s="3" t="inlineStr">
        <is>
          <t>날짜</t>
        </is>
      </c>
      <c r="B4" s="3" t="inlineStr">
        <is>
          <t>요일</t>
        </is>
      </c>
      <c r="C4" s="3" t="inlineStr">
        <is>
          <t>오전(11–14시)</t>
        </is>
      </c>
      <c r="D4" s="3" t="inlineStr">
        <is>
          <t>오후(14–18시)</t>
        </is>
      </c>
      <c r="E4" s="3" t="inlineStr">
        <is>
          <t>저녁(18–20시)</t>
        </is>
      </c>
      <c r="F4" s="3" t="inlineStr">
        <is>
          <t>합계</t>
        </is>
      </c>
    </row>
    <row r="5" ht="22" customHeight="1">
      <c r="A5" s="5" t="inlineStr">
        <is>
          <t>10월 31일</t>
        </is>
      </c>
      <c r="B5" s="5" t="inlineStr">
        <is>
          <t>토</t>
        </is>
      </c>
      <c r="C5" s="19" t="n">
        <v>420</v>
      </c>
      <c r="D5" s="19" t="n">
        <v>980</v>
      </c>
      <c r="E5" s="19" t="n">
        <v>560</v>
      </c>
      <c r="F5" s="19">
        <f>SUM(C5:E5)</f>
        <v/>
      </c>
    </row>
    <row r="6" ht="22" customHeight="1">
      <c r="A6" s="8" t="inlineStr">
        <is>
          <t>11월 1일</t>
        </is>
      </c>
      <c r="B6" s="8" t="inlineStr">
        <is>
          <t>일</t>
        </is>
      </c>
      <c r="C6" s="20" t="n">
        <v>510</v>
      </c>
      <c r="D6" s="20" t="n">
        <v>1120</v>
      </c>
      <c r="E6" s="20" t="n">
        <v>430</v>
      </c>
      <c r="F6" s="20">
        <f>SUM(C6:E6)</f>
        <v/>
      </c>
    </row>
    <row r="7" ht="22" customHeight="1">
      <c r="A7" s="5" t="inlineStr">
        <is>
          <t>11월 2일</t>
        </is>
      </c>
      <c r="B7" s="5" t="inlineStr">
        <is>
          <t>월</t>
        </is>
      </c>
      <c r="C7" s="19" t="n">
        <v>180</v>
      </c>
      <c r="D7" s="19" t="n">
        <v>420</v>
      </c>
      <c r="E7" s="19" t="n">
        <v>380</v>
      </c>
      <c r="F7" s="19">
        <f>SUM(C7:E7)</f>
        <v/>
      </c>
    </row>
    <row r="8" ht="24" customHeight="1">
      <c r="A8" s="21" t="inlineStr">
        <is>
          <t>합계</t>
        </is>
      </c>
      <c r="B8" s="21" t="n"/>
      <c r="C8" s="22">
        <f>SUM(C5:C7)</f>
        <v/>
      </c>
      <c r="D8" s="22">
        <f>SUM(D5:D7)</f>
        <v/>
      </c>
      <c r="E8" s="22">
        <f>SUM(E5:E7)</f>
        <v/>
      </c>
      <c r="F8" s="22">
        <f>SUM(F5:F7)</f>
        <v/>
      </c>
    </row>
    <row r="10">
      <c r="A10" s="23" t="inlineStr">
        <is>
          <t>목표 누적 방문</t>
        </is>
      </c>
      <c r="B10" s="24" t="n">
        <v>4500</v>
      </c>
    </row>
    <row r="11">
      <c r="A11" s="23" t="inlineStr">
        <is>
          <t>스탬프 투어 완주 목표</t>
        </is>
      </c>
      <c r="B11" s="24" t="n">
        <v>800</v>
      </c>
    </row>
    <row r="12">
      <c r="A12" s="23" t="inlineStr">
        <is>
          <t>예상 완주율</t>
        </is>
      </c>
      <c r="B12" s="25">
        <f>B11/F8</f>
        <v/>
      </c>
    </row>
  </sheetData>
  <mergeCells count="2">
    <mergeCell ref="A8:B8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2026-10-14T22:48:22Z</dcterms:created>
  <dcterms:modified xmlns:dcterms="http://purl.org/dc/terms/" xmlns:xsi="http://www.w3.org/2001/XMLSchema-instance" xsi:type="dcterms:W3CDTF">2026-10-14T22:48:22Z</dcterms:modified>
</cp:coreProperties>
</file>